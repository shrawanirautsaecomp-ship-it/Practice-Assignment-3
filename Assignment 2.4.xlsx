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3CEFFA3B-3623-473C-AA05-9E71DEC08A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ic Pay" sheetId="1" r:id="rId1"/>
    <sheet name="HRA" sheetId="2" r:id="rId2"/>
    <sheet name="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<sst xmlns="http://schemas.openxmlformats.org/spreadsheetml/2006/main" count="42" uniqueCount="18">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</sst>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D5" sqref="D5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4" t="s">
        <v>0</v>
      </c>
      <c r="C3" s="4"/>
      <c r="D3" s="4"/>
    </row>
    <row r="4" spans="2:4" x14ac:dyDescent="0.25">
      <c r="B4" s="2" t="s">
        <v>2</v>
      </c>
      <c r="C4" s="2" t="s">
        <v>1</v>
      </c>
      <c r="D4" s="2" t="s">
        <v>15</v>
      </c>
    </row>
    <row r="5" spans="2:4" x14ac:dyDescent="0.25">
      <c r="B5" s="2">
        <v>5001</v>
      </c>
      <c r="C5" s="2" t="s">
        <v>3</v>
      </c>
      <c r="D5" s="2">
        <v>4500</v>
      </c>
    </row>
    <row r="6" spans="2:4" x14ac:dyDescent="0.25">
      <c r="B6" s="2">
        <v>5003</v>
      </c>
      <c r="C6" s="2" t="s">
        <v>4</v>
      </c>
      <c r="D6" s="2">
        <v>2500</v>
      </c>
    </row>
    <row r="7" spans="2:4" x14ac:dyDescent="0.25">
      <c r="B7" s="2">
        <v>5098</v>
      </c>
      <c r="C7" s="2" t="s">
        <v>5</v>
      </c>
      <c r="D7" s="2">
        <v>4500</v>
      </c>
    </row>
    <row r="8" spans="2:4" x14ac:dyDescent="0.25">
      <c r="B8" s="2">
        <v>5689</v>
      </c>
      <c r="C8" s="2" t="s">
        <v>6</v>
      </c>
      <c r="D8" s="2">
        <v>3200</v>
      </c>
    </row>
    <row r="9" spans="2:4" x14ac:dyDescent="0.25">
      <c r="B9" s="2">
        <v>5764</v>
      </c>
      <c r="C9" s="2" t="s">
        <v>7</v>
      </c>
      <c r="D9" s="2">
        <v>1223</v>
      </c>
    </row>
    <row r="10" spans="2:4" x14ac:dyDescent="0.25">
      <c r="B10" s="2">
        <v>5091</v>
      </c>
      <c r="C10" s="2" t="s">
        <v>8</v>
      </c>
      <c r="D10" s="2">
        <v>7890</v>
      </c>
    </row>
    <row r="11" spans="2:4" x14ac:dyDescent="0.25">
      <c r="B11" s="2">
        <v>5673</v>
      </c>
      <c r="C11" s="2" t="s">
        <v>9</v>
      </c>
      <c r="D11" s="2">
        <v>6500</v>
      </c>
    </row>
    <row r="12" spans="2:4" x14ac:dyDescent="0.25">
      <c r="B12" s="2">
        <v>5901</v>
      </c>
      <c r="C12" s="2" t="s">
        <v>10</v>
      </c>
      <c r="D12" s="2">
        <v>5479</v>
      </c>
    </row>
    <row r="13" spans="2:4" x14ac:dyDescent="0.25">
      <c r="B13" s="2">
        <v>5764</v>
      </c>
      <c r="C13" s="2" t="s">
        <v>11</v>
      </c>
      <c r="D13" s="2">
        <v>3456</v>
      </c>
    </row>
    <row r="14" spans="2:4" x14ac:dyDescent="0.2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F14" sqref="F1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5" t="s">
        <v>13</v>
      </c>
      <c r="C3" s="5"/>
      <c r="D3" s="5"/>
    </row>
    <row r="4" spans="2:4" x14ac:dyDescent="0.25">
      <c r="B4" s="1" t="s">
        <v>2</v>
      </c>
      <c r="C4" s="1" t="s">
        <v>1</v>
      </c>
      <c r="D4" s="1" t="s">
        <v>14</v>
      </c>
    </row>
    <row r="5" spans="2:4" x14ac:dyDescent="0.25">
      <c r="B5" s="1">
        <v>5001</v>
      </c>
      <c r="C5" s="1" t="s">
        <v>3</v>
      </c>
      <c r="D5" s="1">
        <f>'Basic Pay'!D5+DA!D5*50%</f>
        <v>4770</v>
      </c>
    </row>
    <row r="6" spans="2:4" x14ac:dyDescent="0.25">
      <c r="B6" s="1">
        <v>5003</v>
      </c>
      <c r="C6" s="1" t="s">
        <v>4</v>
      </c>
      <c r="D6" s="1">
        <f>'Basic Pay'!D6+DA!D6*50%</f>
        <v>2650</v>
      </c>
    </row>
    <row r="7" spans="2:4" x14ac:dyDescent="0.25">
      <c r="B7" s="1">
        <v>5098</v>
      </c>
      <c r="C7" s="1" t="s">
        <v>5</v>
      </c>
      <c r="D7" s="1">
        <f>'Basic Pay'!D7+DA!D7*50%</f>
        <v>4770</v>
      </c>
    </row>
    <row r="8" spans="2:4" x14ac:dyDescent="0.25">
      <c r="B8" s="1">
        <v>5689</v>
      </c>
      <c r="C8" s="1" t="s">
        <v>6</v>
      </c>
      <c r="D8" s="1">
        <f>'Basic Pay'!D8+DA!D8*50%</f>
        <v>3392</v>
      </c>
    </row>
    <row r="9" spans="2:4" x14ac:dyDescent="0.25">
      <c r="B9" s="1">
        <v>5764</v>
      </c>
      <c r="C9" s="1" t="s">
        <v>7</v>
      </c>
      <c r="D9" s="1">
        <f>'Basic Pay'!D9+DA!D9*50%</f>
        <v>1296.3800000000001</v>
      </c>
    </row>
    <row r="10" spans="2:4" x14ac:dyDescent="0.25">
      <c r="B10" s="1">
        <v>5091</v>
      </c>
      <c r="C10" s="1" t="s">
        <v>8</v>
      </c>
      <c r="D10" s="1">
        <f>'Basic Pay'!D10+DA!D10*50%</f>
        <v>8363.4</v>
      </c>
    </row>
    <row r="11" spans="2:4" x14ac:dyDescent="0.25">
      <c r="B11" s="1">
        <v>5673</v>
      </c>
      <c r="C11" s="1" t="s">
        <v>9</v>
      </c>
      <c r="D11" s="1">
        <f>'Basic Pay'!D11+DA!D11*50%</f>
        <v>6890</v>
      </c>
    </row>
    <row r="12" spans="2:4" x14ac:dyDescent="0.25">
      <c r="B12" s="1">
        <v>5901</v>
      </c>
      <c r="C12" s="1" t="s">
        <v>10</v>
      </c>
      <c r="D12" s="1">
        <f>'Basic Pay'!D12+DA!D12*50%</f>
        <v>5807.74</v>
      </c>
    </row>
    <row r="13" spans="2:4" x14ac:dyDescent="0.25">
      <c r="B13" s="1">
        <v>5764</v>
      </c>
      <c r="C13" s="1" t="s">
        <v>11</v>
      </c>
      <c r="D13" s="1">
        <f>'Basic Pay'!D13+DA!D13*50%</f>
        <v>3663.36</v>
      </c>
    </row>
    <row r="14" spans="2:4" x14ac:dyDescent="0.25">
      <c r="B14" s="1">
        <v>5555</v>
      </c>
      <c r="C14" s="1" t="s">
        <v>12</v>
      </c>
      <c r="D14" s="1">
        <f>'Basic Pay'!D14+DA!D14*50%</f>
        <v>1272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tabSelected="1" workbookViewId="0">
      <selection activeCell="A4" sqref="A4:XFD4"/>
    </sheetView>
  </sheetViews>
  <sheetFormatPr defaultRowHeight="13.2" x14ac:dyDescent="0.25"/>
  <cols>
    <col min="2" max="2" width="15.33203125" customWidth="1"/>
    <col min="3" max="3" width="22" customWidth="1"/>
    <col min="4" max="4" width="25.44140625" customWidth="1"/>
  </cols>
  <sheetData>
    <row r="3" spans="2:4" x14ac:dyDescent="0.25">
      <c r="B3" s="3" t="s">
        <v>16</v>
      </c>
      <c r="C3" s="3"/>
      <c r="D3" s="3"/>
    </row>
    <row r="4" spans="2:4" x14ac:dyDescent="0.25">
      <c r="B4" s="1" t="s">
        <v>2</v>
      </c>
      <c r="C4" s="1" t="s">
        <v>1</v>
      </c>
      <c r="D4" s="1" t="s">
        <v>17</v>
      </c>
    </row>
    <row r="5" spans="2:4" x14ac:dyDescent="0.25">
      <c r="B5" s="1">
        <v>5001</v>
      </c>
      <c r="C5" s="1" t="s">
        <v>3</v>
      </c>
      <c r="D5" s="6">
        <f>'Basic Pay'!D5*12%</f>
        <v>540</v>
      </c>
    </row>
    <row r="6" spans="2:4" x14ac:dyDescent="0.25">
      <c r="B6" s="1">
        <v>5003</v>
      </c>
      <c r="C6" s="1" t="s">
        <v>4</v>
      </c>
      <c r="D6" s="6">
        <f>'Basic Pay'!D6*12%</f>
        <v>300</v>
      </c>
    </row>
    <row r="7" spans="2:4" x14ac:dyDescent="0.25">
      <c r="B7" s="1">
        <v>5098</v>
      </c>
      <c r="C7" s="1" t="s">
        <v>5</v>
      </c>
      <c r="D7" s="6">
        <f>'Basic Pay'!D7*12%</f>
        <v>540</v>
      </c>
    </row>
    <row r="8" spans="2:4" x14ac:dyDescent="0.25">
      <c r="B8" s="1">
        <v>5689</v>
      </c>
      <c r="C8" s="1" t="s">
        <v>6</v>
      </c>
      <c r="D8" s="6">
        <f>'Basic Pay'!D8*12%</f>
        <v>384</v>
      </c>
    </row>
    <row r="9" spans="2:4" x14ac:dyDescent="0.25">
      <c r="B9" s="1">
        <v>5764</v>
      </c>
      <c r="C9" s="1" t="s">
        <v>7</v>
      </c>
      <c r="D9" s="6">
        <f>'Basic Pay'!D9*12%</f>
        <v>146.76</v>
      </c>
    </row>
    <row r="10" spans="2:4" x14ac:dyDescent="0.25">
      <c r="B10" s="1">
        <v>5091</v>
      </c>
      <c r="C10" s="1" t="s">
        <v>8</v>
      </c>
      <c r="D10" s="6">
        <f>'Basic Pay'!D10*12%</f>
        <v>946.8</v>
      </c>
    </row>
    <row r="11" spans="2:4" x14ac:dyDescent="0.25">
      <c r="B11" s="1">
        <v>5673</v>
      </c>
      <c r="C11" s="1" t="s">
        <v>9</v>
      </c>
      <c r="D11" s="6">
        <f>'Basic Pay'!D11*12%</f>
        <v>780</v>
      </c>
    </row>
    <row r="12" spans="2:4" x14ac:dyDescent="0.25">
      <c r="B12" s="1">
        <v>5901</v>
      </c>
      <c r="C12" s="1" t="s">
        <v>10</v>
      </c>
      <c r="D12" s="6">
        <f>'Basic Pay'!D12*12%</f>
        <v>657.48</v>
      </c>
    </row>
    <row r="13" spans="2:4" x14ac:dyDescent="0.25">
      <c r="B13" s="1">
        <v>5764</v>
      </c>
      <c r="C13" s="1" t="s">
        <v>11</v>
      </c>
      <c r="D13" s="6">
        <f>'Basic Pay'!D13*12%</f>
        <v>414.71999999999997</v>
      </c>
    </row>
    <row r="14" spans="2:4" x14ac:dyDescent="0.25">
      <c r="B14" s="1">
        <v>5555</v>
      </c>
      <c r="C14" s="1" t="s">
        <v>12</v>
      </c>
      <c r="D14" s="6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Pay</vt:lpstr>
      <vt:lpstr>HRA</vt:lpstr>
      <vt:lpstr>DA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Shrawani Raut</cp:lastModifiedBy>
  <dcterms:created xsi:type="dcterms:W3CDTF">2007-12-11T14:17:32Z</dcterms:created>
  <dcterms:modified xsi:type="dcterms:W3CDTF">2026-10-09T15:59:27Z</dcterms:modified>
</cp:coreProperties>
</file>